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kabad\Downloads\"/>
    </mc:Choice>
  </mc:AlternateContent>
  <xr:revisionPtr revIDLastSave="0" documentId="13_ncr:1_{A8414E6E-18E5-4D63-ABBA-19E2338239E5}" xr6:coauthVersionLast="47" xr6:coauthVersionMax="47" xr10:uidLastSave="{00000000-0000-0000-0000-000000000000}"/>
  <bookViews>
    <workbookView xWindow="-120" yWindow="-120" windowWidth="29040" windowHeight="16440" tabRatio="500" activeTab="2" xr2:uid="{00000000-000D-0000-FFFF-FFFF00000000}"/>
  </bookViews>
  <sheets>
    <sheet name="1_Inputs" sheetId="1" r:id="rId1"/>
    <sheet name="2_Model" sheetId="2" r:id="rId2"/>
    <sheet name="3_Summary" sheetId="3" r:id="rId3"/>
  </sheets>
  <definedNames>
    <definedName name="F0_in">'1_Inputs'!$E$13</definedName>
    <definedName name="FC_AMT">'1_Inputs'!$E$7</definedName>
    <definedName name="K_CALL">'1_Inputs'!$E$20</definedName>
    <definedName name="K_PUT">'1_Inputs'!$E$19</definedName>
    <definedName name="PREM_CALL">'1_Inputs'!$E$22</definedName>
    <definedName name="PREM_PUT">'1_Inputs'!$E$21</definedName>
    <definedName name="R_FC">'1_Inputs'!$E$15</definedName>
    <definedName name="R_USD">'1_Inputs'!$E$14</definedName>
    <definedName name="S0_in">'1_Inputs'!$E$12</definedName>
    <definedName name="T">'1_Inputs'!$E$25</definedName>
    <definedName name="T_DAYS">'1_Inputs'!$E$8</definedName>
    <definedName name="USD_forward">'2_Model'!$C$5</definedName>
    <definedName name="USD_mm">'2_Model'!$C$10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6" i="2" l="1"/>
  <c r="C25" i="2"/>
  <c r="F21" i="2"/>
  <c r="B21" i="2"/>
  <c r="E21" i="2" s="1"/>
  <c r="D17" i="2"/>
  <c r="C17" i="2"/>
  <c r="D16" i="2"/>
  <c r="C16" i="2"/>
  <c r="D15" i="2"/>
  <c r="C15" i="2"/>
  <c r="C5" i="2"/>
  <c r="C27" i="2" s="1"/>
  <c r="E25" i="1"/>
  <c r="C8" i="2" s="1"/>
  <c r="C9" i="2" s="1"/>
  <c r="C10" i="2" s="1"/>
  <c r="C15" i="3"/>
  <c r="C14" i="3"/>
  <c r="C13" i="3"/>
  <c r="E9" i="3"/>
  <c r="D9" i="3"/>
  <c r="C9" i="3"/>
  <c r="E8" i="3"/>
  <c r="D8" i="3"/>
  <c r="C8" i="3"/>
  <c r="D7" i="3"/>
  <c r="F6" i="3"/>
  <c r="D6" i="3"/>
  <c r="D27" i="2" l="1"/>
  <c r="D28" i="2"/>
  <c r="C7" i="3"/>
  <c r="D23" i="2"/>
  <c r="E7" i="3"/>
  <c r="F8" i="3" s="1"/>
  <c r="D29" i="2"/>
  <c r="D21" i="2"/>
  <c r="C16" i="3"/>
  <c r="D26" i="2"/>
  <c r="D30" i="2"/>
  <c r="D22" i="2"/>
  <c r="C11" i="2"/>
  <c r="D31" i="2"/>
  <c r="D24" i="2"/>
  <c r="D25" i="2"/>
  <c r="F7" i="3"/>
  <c r="F9" i="3"/>
  <c r="C24" i="2"/>
  <c r="C6" i="3"/>
  <c r="B22" i="2"/>
  <c r="C23" i="2"/>
  <c r="C31" i="2"/>
  <c r="C30" i="2"/>
  <c r="C22" i="2"/>
  <c r="E6" i="3"/>
  <c r="C21" i="2"/>
  <c r="H21" i="2" s="1"/>
  <c r="C29" i="2"/>
  <c r="C28" i="2"/>
  <c r="C17" i="3"/>
  <c r="F22" i="2" l="1"/>
  <c r="E22" i="2"/>
  <c r="G22" i="2" s="1"/>
  <c r="B23" i="2"/>
  <c r="G21" i="2"/>
  <c r="F23" i="2" l="1"/>
  <c r="E23" i="2"/>
  <c r="B24" i="2"/>
  <c r="H22" i="2"/>
  <c r="B25" i="2" l="1"/>
  <c r="F24" i="2"/>
  <c r="E24" i="2"/>
  <c r="G23" i="2"/>
  <c r="H23" i="2"/>
  <c r="G24" i="2" l="1"/>
  <c r="H24" i="2"/>
  <c r="B26" i="2"/>
  <c r="F25" i="2"/>
  <c r="E25" i="2"/>
  <c r="G25" i="2" l="1"/>
  <c r="H25" i="2"/>
  <c r="B27" i="2"/>
  <c r="F26" i="2"/>
  <c r="E26" i="2"/>
  <c r="G26" i="2" l="1"/>
  <c r="H26" i="2"/>
  <c r="B28" i="2"/>
  <c r="E27" i="2"/>
  <c r="F27" i="2"/>
  <c r="G27" i="2" l="1"/>
  <c r="H27" i="2"/>
  <c r="E28" i="2"/>
  <c r="B29" i="2"/>
  <c r="F28" i="2"/>
  <c r="G28" i="2" l="1"/>
  <c r="H28" i="2"/>
  <c r="F29" i="2"/>
  <c r="E29" i="2"/>
  <c r="B30" i="2"/>
  <c r="F30" i="2" l="1"/>
  <c r="E30" i="2"/>
  <c r="B31" i="2"/>
  <c r="G29" i="2"/>
  <c r="H29" i="2"/>
  <c r="F31" i="2" l="1"/>
  <c r="E31" i="2"/>
  <c r="G30" i="2"/>
  <c r="H30" i="2"/>
  <c r="G31" i="2" l="1"/>
  <c r="H31" i="2"/>
</calcChain>
</file>

<file path=xl/sharedStrings.xml><?xml version="1.0" encoding="utf-8"?>
<sst xmlns="http://schemas.openxmlformats.org/spreadsheetml/2006/main" count="128" uniqueCount="107">
  <si>
    <t>FX HEDGING MODEL – INPUTS</t>
  </si>
  <si>
    <t>FIN 321 | EUR Receivable | 180-Day Horizon | Blue = input  |  Yellow = key assumption</t>
  </si>
  <si>
    <t xml:space="preserve">  Blue text = hardcoded input (change here only)   |   Black = formula   |   Green = cross-sheet link   |   Yellow bg = key assumption</t>
  </si>
  <si>
    <t>EXPOSURE</t>
  </si>
  <si>
    <t>Named Range</t>
  </si>
  <si>
    <t>Description</t>
  </si>
  <si>
    <t>Unit</t>
  </si>
  <si>
    <t>Value</t>
  </si>
  <si>
    <t>Source</t>
  </si>
  <si>
    <t>FC_AMT</t>
  </si>
  <si>
    <t>Foreign-currency receivable</t>
  </si>
  <si>
    <t>EUR</t>
  </si>
  <si>
    <t>Company data</t>
  </si>
  <si>
    <t>T_DAYS</t>
  </si>
  <si>
    <t>Days to settlement</t>
  </si>
  <si>
    <t>Days</t>
  </si>
  <si>
    <t>Contract terms</t>
  </si>
  <si>
    <t>MARKET RATES</t>
  </si>
  <si>
    <t>S0_in</t>
  </si>
  <si>
    <t>Spot rate at inception</t>
  </si>
  <si>
    <t>USD/EUR</t>
  </si>
  <si>
    <t>Market data</t>
  </si>
  <si>
    <t>F0_in</t>
  </si>
  <si>
    <t>Forward rate (180-day)</t>
  </si>
  <si>
    <t>R_USD</t>
  </si>
  <si>
    <t>USD interest rate</t>
  </si>
  <si>
    <t>Annual %</t>
  </si>
  <si>
    <t>R_FC</t>
  </si>
  <si>
    <t>EUR interest rate</t>
  </si>
  <si>
    <t>OPTION PARAMETERS</t>
  </si>
  <si>
    <t>K_PUT</t>
  </si>
  <si>
    <t>Put option strike</t>
  </si>
  <si>
    <t>Analyst choice</t>
  </si>
  <si>
    <t>K_CALL</t>
  </si>
  <si>
    <t>Call option strike</t>
  </si>
  <si>
    <t>PREM_PUT</t>
  </si>
  <si>
    <t>Put premium per EUR</t>
  </si>
  <si>
    <t>USD</t>
  </si>
  <si>
    <t>Market estimate</t>
  </si>
  <si>
    <t>PREM_CALL</t>
  </si>
  <si>
    <t>Call premium per EUR</t>
  </si>
  <si>
    <t>DERIVED</t>
  </si>
  <si>
    <t>T</t>
  </si>
  <si>
    <t>Time to maturity (years) = T_DAYS / 360</t>
  </si>
  <si>
    <t>Years</t>
  </si>
  <si>
    <t>Formula</t>
  </si>
  <si>
    <t>KEY ASSUMPTIONS</t>
  </si>
  <si>
    <t>• Day-count: ACT/360. Rates are simple annual.</t>
  </si>
  <si>
    <t>• No transaction costs, bid-ask spreads, or credit risk.</t>
  </si>
  <si>
    <t>• Forward rate reflects covered interest parity (no arbitrage).</t>
  </si>
  <si>
    <t>• Options are European-style; premiums paid upfront in USD.</t>
  </si>
  <si>
    <t>• Exchange rates quoted as USD per EUR. 100% of exposure hedged.</t>
  </si>
  <si>
    <t>FX HEDGING MODEL – CALCULATIONS &amp; SENSITIVITY</t>
  </si>
  <si>
    <t>Black = formula  |  Green = cross-sheet link  |  All proceeds in USD ($)</t>
  </si>
  <si>
    <t>A. FORWARD HEDGE</t>
  </si>
  <si>
    <t>USD Proceeds (Forward)</t>
  </si>
  <si>
    <t>FC_AMT × F0_in  →  fixed regardless of S_T</t>
  </si>
  <si>
    <t>B. MONEY MARKET HEDGE</t>
  </si>
  <si>
    <t>EUR to borrow today</t>
  </si>
  <si>
    <t>FC_AMT / (1 + R_FC × T)</t>
  </si>
  <si>
    <t>USD converted at spot</t>
  </si>
  <si>
    <t>EUR_borrow × S0_in</t>
  </si>
  <si>
    <t>USD Proceeds (MM)</t>
  </si>
  <si>
    <t>USD_today × (1 + R_USD × T)</t>
  </si>
  <si>
    <t>Parity Check (MM − Fwd)</t>
  </si>
  <si>
    <t>Should be ≈ $0  (covered interest parity)</t>
  </si>
  <si>
    <t>C. OPTION COSTS &amp; BREAK-EVENS</t>
  </si>
  <si>
    <t>Put</t>
  </si>
  <si>
    <t>Call</t>
  </si>
  <si>
    <t>Premium per EUR (USD)</t>
  </si>
  <si>
    <t>Total premium cost ($)</t>
  </si>
  <si>
    <t>Break-even S_T</t>
  </si>
  <si>
    <t>D. SENSITIVITY – USD PROCEEDS BY STRATEGY vs. S_T</t>
  </si>
  <si>
    <t>S_T (USD/EUR)</t>
  </si>
  <si>
    <t>Forward ($)</t>
  </si>
  <si>
    <t>Money Mkt ($)</t>
  </si>
  <si>
    <t>Put Hedge ($)</t>
  </si>
  <si>
    <t>Call Hedge ($)</t>
  </si>
  <si>
    <t>Δ Put vs Fwd</t>
  </si>
  <si>
    <t>Best Strategy</t>
  </si>
  <si>
    <t>FX HEDGING MODEL – EXECUTIVE SUMMARY</t>
  </si>
  <si>
    <t>EUR 1,200,000 Receivable  |  180-Day Horizon  |  Spot: 1.1000  |  Forward: 1.0950</t>
  </si>
  <si>
    <t>STRATEGY COMPARISON AT BASE CASE  (S_T = S0_in = 1.1000)</t>
  </si>
  <si>
    <t>Strategy</t>
  </si>
  <si>
    <t>Gross Proceeds ($)</t>
  </si>
  <si>
    <t>Premium Cost ($)</t>
  </si>
  <si>
    <t>Net Proceeds ($)</t>
  </si>
  <si>
    <t>vs. Forward ($)</t>
  </si>
  <si>
    <t>Forward Hedge</t>
  </si>
  <si>
    <t>Money Market Hedge</t>
  </si>
  <si>
    <t>Put Hedge (ATM  K=1.10)</t>
  </si>
  <si>
    <t>Call Hedge (ATM  K=1.10)</t>
  </si>
  <si>
    <t>KEY DECISION METRICS</t>
  </si>
  <si>
    <t>Metric</t>
  </si>
  <si>
    <t>Notes</t>
  </si>
  <si>
    <t>USD floor (Put, net of premium)</t>
  </si>
  <si>
    <t>Worst-case proceeds if EUR falls below 1.10</t>
  </si>
  <si>
    <t>Put break-even S_T</t>
  </si>
  <si>
    <t>EUR must be above this for put to outperform selling unhedged</t>
  </si>
  <si>
    <t>Call break-even S_T</t>
  </si>
  <si>
    <t>EUR must reach this level for call strategy to profit vs. forward</t>
  </si>
  <si>
    <t>Parity diff (Money Mkt − Forward)</t>
  </si>
  <si>
    <t>Should be ≈ $0; validates covered interest parity</t>
  </si>
  <si>
    <t>Put premium as % of fwd proceeds</t>
  </si>
  <si>
    <t>Cost of downside protection in basis-point terms</t>
  </si>
  <si>
    <t>EXECUTIVE RECOMMENDATION</t>
  </si>
  <si>
    <t>RECOMMENDATION:  Forward Hedge (risk-averse) or Put Hedge (flexibility-seeking)
The Forward Hedge locks in $1,314,000 of USD proceeds with zero FX uncertainty — the appropriate choice when cash-flow certainty is paramount. The Money Market Hedge produces a nearly identical result and serves as a parity cross-check.
If management wishes to participate in EUR appreciation, the ATM Put Hedge is preferred. It establishes a USD floor of ~$1,296,000 net of the $24,000 premium (~1.8% of proceeds) while preserving full upside above the 1.10 strike. The call hedge is less relevant for a EUR receivable and is included for analytical completeness only.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</si>
</sst>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\$#,##0.00"/>
  </numFmts>
  <fonts count="12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i/>
      <sz val="8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rgb="FF0000FF"/>
      <name val="Arial"/>
      <family val="2"/>
    </font>
    <font>
      <i/>
      <sz val="9"/>
      <name val="Arial"/>
      <family val="2"/>
    </font>
    <font>
      <sz val="11"/>
      <color rgb="FF000000"/>
      <name val="Arial"/>
      <family val="2"/>
    </font>
    <font>
      <sz val="11"/>
      <color rgb="FF008000"/>
      <name val="Arial"/>
      <family val="2"/>
    </font>
    <font>
      <i/>
      <sz val="9"/>
      <color rgb="FF59595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4B5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F2F2F2"/>
      </patternFill>
    </fill>
  </fills>
  <borders count="3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1" fillId="0" borderId="0" xfId="0" applyFont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7" borderId="1" xfId="0" applyFont="1" applyFill="1" applyBorder="1" applyAlignment="1">
      <alignment horizontal="left" vertical="center"/>
    </xf>
    <xf numFmtId="0" fontId="3" fillId="0" borderId="0" xfId="0" applyFont="1" applyAlignment="1">
      <alignment horizontal="left"/>
    </xf>
    <xf numFmtId="0" fontId="6" fillId="7" borderId="0" xfId="0" applyFont="1" applyFill="1" applyAlignment="1">
      <alignment horizontal="left" vertical="top" wrapText="1"/>
    </xf>
    <xf numFmtId="0" fontId="8" fillId="7" borderId="1" xfId="0" applyFont="1" applyFill="1" applyBorder="1" applyAlignment="1">
      <alignment horizontal="left" vertical="center"/>
    </xf>
    <xf numFmtId="0" fontId="8" fillId="6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3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/>
    </xf>
    <xf numFmtId="0" fontId="6" fillId="0" borderId="2" xfId="0" applyFont="1" applyBorder="1"/>
    <xf numFmtId="0" fontId="6" fillId="0" borderId="2" xfId="0" applyFont="1" applyBorder="1" applyAlignment="1">
      <alignment horizontal="center"/>
    </xf>
    <xf numFmtId="3" fontId="7" fillId="5" borderId="2" xfId="0" applyNumberFormat="1" applyFont="1" applyFill="1" applyBorder="1" applyAlignment="1">
      <alignment horizontal="right" vertical="center"/>
    </xf>
    <xf numFmtId="0" fontId="8" fillId="0" borderId="2" xfId="0" applyFont="1" applyBorder="1"/>
    <xf numFmtId="164" fontId="7" fillId="5" borderId="2" xfId="0" applyNumberFormat="1" applyFont="1" applyFill="1" applyBorder="1" applyAlignment="1">
      <alignment horizontal="right" vertical="center"/>
    </xf>
    <xf numFmtId="10" fontId="7" fillId="5" borderId="2" xfId="0" applyNumberFormat="1" applyFont="1" applyFill="1" applyBorder="1" applyAlignment="1">
      <alignment horizontal="right" vertical="center"/>
    </xf>
    <xf numFmtId="0" fontId="0" fillId="0" borderId="2" xfId="0" applyBorder="1" applyAlignment="1">
      <alignment horizontal="center"/>
    </xf>
    <xf numFmtId="164" fontId="9" fillId="6" borderId="2" xfId="0" applyNumberFormat="1" applyFont="1" applyFill="1" applyBorder="1" applyAlignment="1">
      <alignment horizontal="right" vertical="center"/>
    </xf>
    <xf numFmtId="165" fontId="10" fillId="8" borderId="2" xfId="0" applyNumberFormat="1" applyFont="1" applyFill="1" applyBorder="1" applyAlignment="1">
      <alignment horizontal="right" vertical="center"/>
    </xf>
    <xf numFmtId="4" fontId="9" fillId="6" borderId="2" xfId="0" applyNumberFormat="1" applyFont="1" applyFill="1" applyBorder="1" applyAlignment="1">
      <alignment horizontal="right" vertical="center"/>
    </xf>
    <xf numFmtId="165" fontId="9" fillId="6" borderId="2" xfId="0" applyNumberFormat="1" applyFont="1" applyFill="1" applyBorder="1" applyAlignment="1">
      <alignment horizontal="right" vertical="center"/>
    </xf>
    <xf numFmtId="165" fontId="9" fillId="8" borderId="2" xfId="0" applyNumberFormat="1" applyFont="1" applyFill="1" applyBorder="1" applyAlignment="1">
      <alignment horizontal="right" vertical="center"/>
    </xf>
    <xf numFmtId="165" fontId="9" fillId="5" borderId="2" xfId="0" applyNumberFormat="1" applyFont="1" applyFill="1" applyBorder="1" applyAlignment="1">
      <alignment horizontal="right" vertical="center"/>
    </xf>
    <xf numFmtId="165" fontId="9" fillId="7" borderId="2" xfId="0" applyNumberFormat="1" applyFont="1" applyFill="1" applyBorder="1" applyAlignment="1">
      <alignment horizontal="right" vertical="center"/>
    </xf>
    <xf numFmtId="164" fontId="9" fillId="7" borderId="2" xfId="0" applyNumberFormat="1" applyFont="1" applyFill="1" applyBorder="1" applyAlignment="1">
      <alignment horizontal="right" vertical="center"/>
    </xf>
    <xf numFmtId="165" fontId="10" fillId="7" borderId="2" xfId="0" applyNumberFormat="1" applyFont="1" applyFill="1" applyBorder="1" applyAlignment="1">
      <alignment horizontal="right" vertical="center"/>
    </xf>
    <xf numFmtId="0" fontId="5" fillId="8" borderId="2" xfId="0" applyFont="1" applyFill="1" applyBorder="1" applyAlignment="1">
      <alignment horizontal="center" vertical="center"/>
    </xf>
    <xf numFmtId="165" fontId="10" fillId="6" borderId="2" xfId="0" applyNumberFormat="1" applyFont="1" applyFill="1" applyBorder="1" applyAlignment="1">
      <alignment horizontal="right" vertical="center"/>
    </xf>
    <xf numFmtId="164" fontId="10" fillId="7" borderId="2" xfId="0" applyNumberFormat="1" applyFont="1" applyFill="1" applyBorder="1" applyAlignment="1">
      <alignment horizontal="right" vertical="center"/>
    </xf>
    <xf numFmtId="164" fontId="10" fillId="6" borderId="2" xfId="0" applyNumberFormat="1" applyFont="1" applyFill="1" applyBorder="1" applyAlignment="1">
      <alignment horizontal="right" vertical="center"/>
    </xf>
    <xf numFmtId="10" fontId="10" fillId="6" borderId="2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2F2F2"/>
      <rgbColor rgb="FFD6E4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4B5"/>
      <rgbColor rgb="FF33CCCC"/>
      <rgbColor rgb="FF99CC00"/>
      <rgbColor rgb="FFFFCC00"/>
      <rgbColor rgb="FFFF9900"/>
      <rgbColor rgb="FFFF4B4B"/>
      <rgbColor rgb="FF595959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USD Proceeds by Strategy vs. EUR/USD at Maturity (S_T)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'2_Model'!$C$20</c:f>
              <c:strCache>
                <c:ptCount val="1"/>
                <c:pt idx="0">
                  <c:v>Forward ($)</c:v>
                </c:pt>
              </c:strCache>
            </c:strRef>
          </c:tx>
          <c:spPr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'2_Model'!$B$21:$B$31</c:f>
              <c:numCache>
                <c:formatCode>0.0000</c:formatCode>
                <c:ptCount val="11"/>
                <c:pt idx="0">
                  <c:v>1.0449999999999999</c:v>
                </c:pt>
                <c:pt idx="1">
                  <c:v>1.0549999999999999</c:v>
                </c:pt>
                <c:pt idx="2">
                  <c:v>1.0649999999999999</c:v>
                </c:pt>
                <c:pt idx="3">
                  <c:v>1.075</c:v>
                </c:pt>
                <c:pt idx="4">
                  <c:v>1.085</c:v>
                </c:pt>
                <c:pt idx="5">
                  <c:v>1.095</c:v>
                </c:pt>
                <c:pt idx="6">
                  <c:v>1.105</c:v>
                </c:pt>
                <c:pt idx="7">
                  <c:v>1.115</c:v>
                </c:pt>
                <c:pt idx="8">
                  <c:v>1.125</c:v>
                </c:pt>
                <c:pt idx="9">
                  <c:v>1.135</c:v>
                </c:pt>
                <c:pt idx="10">
                  <c:v>1.145</c:v>
                </c:pt>
              </c:numCache>
            </c:numRef>
          </c:cat>
          <c:val>
            <c:numRef>
              <c:f>'2_Model'!$C$21:$C$31</c:f>
              <c:numCache>
                <c:formatCode>\$#,##0.00</c:formatCode>
                <c:ptCount val="11"/>
                <c:pt idx="0">
                  <c:v>1314000</c:v>
                </c:pt>
                <c:pt idx="1">
                  <c:v>1314000</c:v>
                </c:pt>
                <c:pt idx="2">
                  <c:v>1314000</c:v>
                </c:pt>
                <c:pt idx="3">
                  <c:v>1314000</c:v>
                </c:pt>
                <c:pt idx="4">
                  <c:v>1314000</c:v>
                </c:pt>
                <c:pt idx="5">
                  <c:v>1314000</c:v>
                </c:pt>
                <c:pt idx="6">
                  <c:v>1314000</c:v>
                </c:pt>
                <c:pt idx="7">
                  <c:v>1314000</c:v>
                </c:pt>
                <c:pt idx="8">
                  <c:v>1314000</c:v>
                </c:pt>
                <c:pt idx="9">
                  <c:v>1314000</c:v>
                </c:pt>
                <c:pt idx="10">
                  <c:v>1314000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B9F-4E5C-A9A0-AB30EF77B504}"/>
            </c:ext>
          </c:extLst>
        </c:ser>
        <c:ser>
          <c:idx val="1"/>
          <c:order val="1"/>
          <c:tx>
            <c:strRef>
              <c:f>'2_Model'!$D$20</c:f>
              <c:strCache>
                <c:ptCount val="1"/>
                <c:pt idx="0">
                  <c:v>Money Mkt ($)</c:v>
                </c:pt>
              </c:strCache>
            </c:strRef>
          </c:tx>
          <c:spPr>
            <a:ln w="21960">
              <a:solidFill>
                <a:srgbClr val="2E74B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'2_Model'!$B$21:$B$31</c:f>
              <c:numCache>
                <c:formatCode>0.0000</c:formatCode>
                <c:ptCount val="11"/>
                <c:pt idx="0">
                  <c:v>1.0449999999999999</c:v>
                </c:pt>
                <c:pt idx="1">
                  <c:v>1.0549999999999999</c:v>
                </c:pt>
                <c:pt idx="2">
                  <c:v>1.0649999999999999</c:v>
                </c:pt>
                <c:pt idx="3">
                  <c:v>1.075</c:v>
                </c:pt>
                <c:pt idx="4">
                  <c:v>1.085</c:v>
                </c:pt>
                <c:pt idx="5">
                  <c:v>1.095</c:v>
                </c:pt>
                <c:pt idx="6">
                  <c:v>1.105</c:v>
                </c:pt>
                <c:pt idx="7">
                  <c:v>1.115</c:v>
                </c:pt>
                <c:pt idx="8">
                  <c:v>1.125</c:v>
                </c:pt>
                <c:pt idx="9">
                  <c:v>1.135</c:v>
                </c:pt>
                <c:pt idx="10">
                  <c:v>1.145</c:v>
                </c:pt>
              </c:numCache>
            </c:numRef>
          </c:cat>
          <c:val>
            <c:numRef>
              <c:f>'2_Model'!$D$21:$D$31</c:f>
              <c:numCache>
                <c:formatCode>\$#,##0.00</c:formatCode>
                <c:ptCount val="11"/>
                <c:pt idx="0">
                  <c:v>1333004.9261083745</c:v>
                </c:pt>
                <c:pt idx="1">
                  <c:v>1333004.9261083745</c:v>
                </c:pt>
                <c:pt idx="2">
                  <c:v>1333004.9261083745</c:v>
                </c:pt>
                <c:pt idx="3">
                  <c:v>1333004.9261083745</c:v>
                </c:pt>
                <c:pt idx="4">
                  <c:v>1333004.9261083745</c:v>
                </c:pt>
                <c:pt idx="5">
                  <c:v>1333004.9261083745</c:v>
                </c:pt>
                <c:pt idx="6">
                  <c:v>1333004.9261083745</c:v>
                </c:pt>
                <c:pt idx="7">
                  <c:v>1333004.9261083745</c:v>
                </c:pt>
                <c:pt idx="8">
                  <c:v>1333004.9261083745</c:v>
                </c:pt>
                <c:pt idx="9">
                  <c:v>1333004.9261083745</c:v>
                </c:pt>
                <c:pt idx="10">
                  <c:v>1333004.9261083745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B9F-4E5C-A9A0-AB30EF77B504}"/>
            </c:ext>
          </c:extLst>
        </c:ser>
        <c:ser>
          <c:idx val="2"/>
          <c:order val="2"/>
          <c:tx>
            <c:strRef>
              <c:f>'2_Model'!$E$20</c:f>
              <c:strCache>
                <c:ptCount val="1"/>
                <c:pt idx="0">
                  <c:v>Put Hedge ($)</c:v>
                </c:pt>
              </c:strCache>
            </c:strRef>
          </c:tx>
          <c:spPr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'2_Model'!$B$21:$B$31</c:f>
              <c:numCache>
                <c:formatCode>0.0000</c:formatCode>
                <c:ptCount val="11"/>
                <c:pt idx="0">
                  <c:v>1.0449999999999999</c:v>
                </c:pt>
                <c:pt idx="1">
                  <c:v>1.0549999999999999</c:v>
                </c:pt>
                <c:pt idx="2">
                  <c:v>1.0649999999999999</c:v>
                </c:pt>
                <c:pt idx="3">
                  <c:v>1.075</c:v>
                </c:pt>
                <c:pt idx="4">
                  <c:v>1.085</c:v>
                </c:pt>
                <c:pt idx="5">
                  <c:v>1.095</c:v>
                </c:pt>
                <c:pt idx="6">
                  <c:v>1.105</c:v>
                </c:pt>
                <c:pt idx="7">
                  <c:v>1.115</c:v>
                </c:pt>
                <c:pt idx="8">
                  <c:v>1.125</c:v>
                </c:pt>
                <c:pt idx="9">
                  <c:v>1.135</c:v>
                </c:pt>
                <c:pt idx="10">
                  <c:v>1.145</c:v>
                </c:pt>
              </c:numCache>
            </c:numRef>
          </c:cat>
          <c:val>
            <c:numRef>
              <c:f>'2_Model'!$E$21:$E$31</c:f>
              <c:numCache>
                <c:formatCode>\$#,##0.00</c:formatCode>
                <c:ptCount val="11"/>
                <c:pt idx="0">
                  <c:v>1296000</c:v>
                </c:pt>
                <c:pt idx="1">
                  <c:v>1296000</c:v>
                </c:pt>
                <c:pt idx="2">
                  <c:v>1296000</c:v>
                </c:pt>
                <c:pt idx="3">
                  <c:v>1296000</c:v>
                </c:pt>
                <c:pt idx="4">
                  <c:v>1296000</c:v>
                </c:pt>
                <c:pt idx="5">
                  <c:v>1296000</c:v>
                </c:pt>
                <c:pt idx="6">
                  <c:v>1302000</c:v>
                </c:pt>
                <c:pt idx="7">
                  <c:v>1314000</c:v>
                </c:pt>
                <c:pt idx="8">
                  <c:v>1326000</c:v>
                </c:pt>
                <c:pt idx="9">
                  <c:v>1338000</c:v>
                </c:pt>
                <c:pt idx="10">
                  <c:v>1350000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8B9F-4E5C-A9A0-AB30EF77B504}"/>
            </c:ext>
          </c:extLst>
        </c:ser>
        <c:ser>
          <c:idx val="3"/>
          <c:order val="3"/>
          <c:tx>
            <c:strRef>
              <c:f>'2_Model'!$F$20</c:f>
              <c:strCache>
                <c:ptCount val="1"/>
                <c:pt idx="0">
                  <c:v>Call Hedge ($)</c:v>
                </c:pt>
              </c:strCache>
            </c:strRef>
          </c:tx>
          <c:spPr>
            <a:ln w="21960">
              <a:solidFill>
                <a:srgbClr val="FF4B4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'2_Model'!$B$21:$B$31</c:f>
              <c:numCache>
                <c:formatCode>0.0000</c:formatCode>
                <c:ptCount val="11"/>
                <c:pt idx="0">
                  <c:v>1.0449999999999999</c:v>
                </c:pt>
                <c:pt idx="1">
                  <c:v>1.0549999999999999</c:v>
                </c:pt>
                <c:pt idx="2">
                  <c:v>1.0649999999999999</c:v>
                </c:pt>
                <c:pt idx="3">
                  <c:v>1.075</c:v>
                </c:pt>
                <c:pt idx="4">
                  <c:v>1.085</c:v>
                </c:pt>
                <c:pt idx="5">
                  <c:v>1.095</c:v>
                </c:pt>
                <c:pt idx="6">
                  <c:v>1.105</c:v>
                </c:pt>
                <c:pt idx="7">
                  <c:v>1.115</c:v>
                </c:pt>
                <c:pt idx="8">
                  <c:v>1.125</c:v>
                </c:pt>
                <c:pt idx="9">
                  <c:v>1.135</c:v>
                </c:pt>
                <c:pt idx="10">
                  <c:v>1.145</c:v>
                </c:pt>
              </c:numCache>
            </c:numRef>
          </c:cat>
          <c:val>
            <c:numRef>
              <c:f>'2_Model'!$F$21:$F$31</c:f>
              <c:numCache>
                <c:formatCode>\$#,##0.00</c:formatCode>
                <c:ptCount val="11"/>
                <c:pt idx="0">
                  <c:v>1224000</c:v>
                </c:pt>
                <c:pt idx="1">
                  <c:v>1236000</c:v>
                </c:pt>
                <c:pt idx="2">
                  <c:v>1248000</c:v>
                </c:pt>
                <c:pt idx="3">
                  <c:v>1260000</c:v>
                </c:pt>
                <c:pt idx="4">
                  <c:v>1272000</c:v>
                </c:pt>
                <c:pt idx="5">
                  <c:v>1284000</c:v>
                </c:pt>
                <c:pt idx="6">
                  <c:v>1290000</c:v>
                </c:pt>
                <c:pt idx="7">
                  <c:v>1290000</c:v>
                </c:pt>
                <c:pt idx="8">
                  <c:v>1290000</c:v>
                </c:pt>
                <c:pt idx="9">
                  <c:v>1290000</c:v>
                </c:pt>
                <c:pt idx="10">
                  <c:v>1290000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8B9F-4E5C-A9A0-AB30EF77B5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2143317"/>
        <c:axId val="7510696"/>
      </c:lineChart>
      <c:catAx>
        <c:axId val="2214331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S_T (USD/EUR)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7510696"/>
        <c:crosses val="autoZero"/>
        <c:auto val="1"/>
        <c:lblAlgn val="ctr"/>
        <c:lblOffset val="100"/>
        <c:noMultiLvlLbl val="0"/>
      </c:catAx>
      <c:valAx>
        <c:axId val="75106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USD Proceeds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21433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33</xdr:row>
      <xdr:rowOff>0</xdr:rowOff>
    </xdr:from>
    <xdr:to>
      <xdr:col>8</xdr:col>
      <xdr:colOff>901080</xdr:colOff>
      <xdr:row>59</xdr:row>
      <xdr:rowOff>86400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32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18" customWidth="1"/>
    <col min="3" max="3" width="35.7109375" bestFit="1" customWidth="1"/>
    <col min="4" max="4" width="12" customWidth="1"/>
    <col min="5" max="5" width="14" customWidth="1"/>
    <col min="6" max="6" width="20" customWidth="1"/>
  </cols>
  <sheetData>
    <row r="1" spans="2:6" ht="27.75" customHeight="1" x14ac:dyDescent="0.25">
      <c r="B1" s="10" t="s">
        <v>0</v>
      </c>
      <c r="C1" s="10"/>
      <c r="D1" s="10"/>
      <c r="E1" s="10"/>
      <c r="F1" s="10"/>
    </row>
    <row r="2" spans="2:6" ht="15.75" customHeight="1" x14ac:dyDescent="0.25">
      <c r="B2" s="9" t="s">
        <v>1</v>
      </c>
      <c r="C2" s="9"/>
      <c r="D2" s="9"/>
      <c r="E2" s="9"/>
      <c r="F2" s="9"/>
    </row>
    <row r="3" spans="2:6" ht="15" customHeight="1" x14ac:dyDescent="0.25">
      <c r="B3" s="4" t="s">
        <v>2</v>
      </c>
      <c r="C3" s="4"/>
      <c r="D3" s="4"/>
      <c r="E3" s="4"/>
      <c r="F3" s="4"/>
    </row>
    <row r="5" spans="2:6" ht="15" customHeight="1" x14ac:dyDescent="0.25">
      <c r="B5" s="8" t="s">
        <v>3</v>
      </c>
      <c r="C5" s="8"/>
      <c r="D5" s="8"/>
      <c r="E5" s="8"/>
      <c r="F5" s="8"/>
    </row>
    <row r="6" spans="2:6" ht="15" customHeight="1" x14ac:dyDescent="0.25">
      <c r="B6" s="11" t="s">
        <v>4</v>
      </c>
      <c r="C6" s="11" t="s">
        <v>5</v>
      </c>
      <c r="D6" s="11" t="s">
        <v>6</v>
      </c>
      <c r="E6" s="11" t="s">
        <v>7</v>
      </c>
      <c r="F6" s="11" t="s">
        <v>8</v>
      </c>
    </row>
    <row r="7" spans="2:6" ht="15" customHeight="1" x14ac:dyDescent="0.25">
      <c r="B7" s="12" t="s">
        <v>9</v>
      </c>
      <c r="C7" s="13" t="s">
        <v>10</v>
      </c>
      <c r="D7" s="14" t="s">
        <v>11</v>
      </c>
      <c r="E7" s="15">
        <v>1200000</v>
      </c>
      <c r="F7" s="16" t="s">
        <v>12</v>
      </c>
    </row>
    <row r="8" spans="2:6" ht="15" customHeight="1" x14ac:dyDescent="0.25">
      <c r="B8" s="12" t="s">
        <v>13</v>
      </c>
      <c r="C8" s="13" t="s">
        <v>14</v>
      </c>
      <c r="D8" s="14" t="s">
        <v>15</v>
      </c>
      <c r="E8" s="15">
        <v>180</v>
      </c>
      <c r="F8" s="16" t="s">
        <v>16</v>
      </c>
    </row>
    <row r="10" spans="2:6" ht="15" customHeight="1" x14ac:dyDescent="0.25">
      <c r="B10" s="8" t="s">
        <v>17</v>
      </c>
      <c r="C10" s="8"/>
      <c r="D10" s="8"/>
      <c r="E10" s="8"/>
      <c r="F10" s="8"/>
    </row>
    <row r="11" spans="2:6" ht="15" customHeight="1" x14ac:dyDescent="0.25">
      <c r="B11" s="11" t="s">
        <v>4</v>
      </c>
      <c r="C11" s="11" t="s">
        <v>5</v>
      </c>
      <c r="D11" s="11" t="s">
        <v>6</v>
      </c>
      <c r="E11" s="11" t="s">
        <v>7</v>
      </c>
      <c r="F11" s="11" t="s">
        <v>8</v>
      </c>
    </row>
    <row r="12" spans="2:6" ht="15" customHeight="1" x14ac:dyDescent="0.25">
      <c r="B12" s="12" t="s">
        <v>18</v>
      </c>
      <c r="C12" s="13" t="s">
        <v>19</v>
      </c>
      <c r="D12" s="14" t="s">
        <v>20</v>
      </c>
      <c r="E12" s="17">
        <v>1.1000000000000001</v>
      </c>
      <c r="F12" s="16" t="s">
        <v>21</v>
      </c>
    </row>
    <row r="13" spans="2:6" ht="15" customHeight="1" x14ac:dyDescent="0.25">
      <c r="B13" s="12" t="s">
        <v>22</v>
      </c>
      <c r="C13" s="13" t="s">
        <v>23</v>
      </c>
      <c r="D13" s="14" t="s">
        <v>20</v>
      </c>
      <c r="E13" s="17">
        <v>1.095</v>
      </c>
      <c r="F13" s="16" t="s">
        <v>21</v>
      </c>
    </row>
    <row r="14" spans="2:6" ht="15" customHeight="1" x14ac:dyDescent="0.25">
      <c r="B14" s="12" t="s">
        <v>24</v>
      </c>
      <c r="C14" s="13" t="s">
        <v>25</v>
      </c>
      <c r="D14" s="14" t="s">
        <v>26</v>
      </c>
      <c r="E14" s="18">
        <v>0.05</v>
      </c>
      <c r="F14" s="16" t="s">
        <v>21</v>
      </c>
    </row>
    <row r="15" spans="2:6" ht="15" customHeight="1" x14ac:dyDescent="0.25">
      <c r="B15" s="12" t="s">
        <v>27</v>
      </c>
      <c r="C15" s="13" t="s">
        <v>28</v>
      </c>
      <c r="D15" s="14" t="s">
        <v>26</v>
      </c>
      <c r="E15" s="18">
        <v>0.03</v>
      </c>
      <c r="F15" s="16" t="s">
        <v>21</v>
      </c>
    </row>
    <row r="17" spans="2:6" ht="15" customHeight="1" x14ac:dyDescent="0.25">
      <c r="B17" s="8" t="s">
        <v>29</v>
      </c>
      <c r="C17" s="8"/>
      <c r="D17" s="8"/>
      <c r="E17" s="8"/>
      <c r="F17" s="8"/>
    </row>
    <row r="18" spans="2:6" ht="15" customHeight="1" x14ac:dyDescent="0.25">
      <c r="B18" s="11" t="s">
        <v>4</v>
      </c>
      <c r="C18" s="11" t="s">
        <v>5</v>
      </c>
      <c r="D18" s="11" t="s">
        <v>6</v>
      </c>
      <c r="E18" s="11" t="s">
        <v>7</v>
      </c>
      <c r="F18" s="11" t="s">
        <v>8</v>
      </c>
    </row>
    <row r="19" spans="2:6" ht="15" customHeight="1" x14ac:dyDescent="0.25">
      <c r="B19" s="12" t="s">
        <v>30</v>
      </c>
      <c r="C19" s="13" t="s">
        <v>31</v>
      </c>
      <c r="D19" s="14" t="s">
        <v>20</v>
      </c>
      <c r="E19" s="17">
        <v>1.1000000000000001</v>
      </c>
      <c r="F19" s="16" t="s">
        <v>32</v>
      </c>
    </row>
    <row r="20" spans="2:6" ht="15" customHeight="1" x14ac:dyDescent="0.25">
      <c r="B20" s="12" t="s">
        <v>33</v>
      </c>
      <c r="C20" s="13" t="s">
        <v>34</v>
      </c>
      <c r="D20" s="14" t="s">
        <v>20</v>
      </c>
      <c r="E20" s="17">
        <v>1.1000000000000001</v>
      </c>
      <c r="F20" s="16" t="s">
        <v>32</v>
      </c>
    </row>
    <row r="21" spans="2:6" ht="15" customHeight="1" x14ac:dyDescent="0.25">
      <c r="B21" s="12" t="s">
        <v>35</v>
      </c>
      <c r="C21" s="13" t="s">
        <v>36</v>
      </c>
      <c r="D21" s="14" t="s">
        <v>37</v>
      </c>
      <c r="E21" s="17">
        <v>0.02</v>
      </c>
      <c r="F21" s="16" t="s">
        <v>38</v>
      </c>
    </row>
    <row r="22" spans="2:6" ht="15" customHeight="1" x14ac:dyDescent="0.25">
      <c r="B22" s="12" t="s">
        <v>39</v>
      </c>
      <c r="C22" s="13" t="s">
        <v>40</v>
      </c>
      <c r="D22" s="14" t="s">
        <v>37</v>
      </c>
      <c r="E22" s="17">
        <v>2.5000000000000001E-2</v>
      </c>
      <c r="F22" s="16" t="s">
        <v>38</v>
      </c>
    </row>
    <row r="24" spans="2:6" ht="15" customHeight="1" x14ac:dyDescent="0.25">
      <c r="B24" s="8" t="s">
        <v>41</v>
      </c>
      <c r="C24" s="8"/>
      <c r="D24" s="8"/>
      <c r="E24" s="8"/>
      <c r="F24" s="8"/>
    </row>
    <row r="25" spans="2:6" ht="15" customHeight="1" x14ac:dyDescent="0.25">
      <c r="B25" s="12" t="s">
        <v>42</v>
      </c>
      <c r="C25" s="13" t="s">
        <v>43</v>
      </c>
      <c r="D25" s="19" t="s">
        <v>44</v>
      </c>
      <c r="E25" s="20">
        <f>E8/360</f>
        <v>0.5</v>
      </c>
      <c r="F25" s="16" t="s">
        <v>45</v>
      </c>
    </row>
    <row r="27" spans="2:6" ht="15" customHeight="1" x14ac:dyDescent="0.25">
      <c r="B27" s="8" t="s">
        <v>46</v>
      </c>
      <c r="C27" s="8"/>
      <c r="D27" s="8"/>
      <c r="E27" s="8"/>
      <c r="F27" s="8"/>
    </row>
    <row r="28" spans="2:6" ht="15" customHeight="1" x14ac:dyDescent="0.25">
      <c r="B28" s="3" t="s">
        <v>47</v>
      </c>
      <c r="C28" s="3"/>
      <c r="D28" s="3"/>
      <c r="E28" s="3"/>
      <c r="F28" s="3"/>
    </row>
    <row r="29" spans="2:6" ht="15" customHeight="1" x14ac:dyDescent="0.25">
      <c r="B29" s="2" t="s">
        <v>48</v>
      </c>
      <c r="C29" s="2"/>
      <c r="D29" s="2"/>
      <c r="E29" s="2"/>
      <c r="F29" s="2"/>
    </row>
    <row r="30" spans="2:6" ht="15" customHeight="1" x14ac:dyDescent="0.25">
      <c r="B30" s="3" t="s">
        <v>49</v>
      </c>
      <c r="C30" s="3"/>
      <c r="D30" s="3"/>
      <c r="E30" s="3"/>
      <c r="F30" s="3"/>
    </row>
    <row r="31" spans="2:6" ht="15" customHeight="1" x14ac:dyDescent="0.25">
      <c r="B31" s="2" t="s">
        <v>50</v>
      </c>
      <c r="C31" s="2"/>
      <c r="D31" s="2"/>
      <c r="E31" s="2"/>
      <c r="F31" s="2"/>
    </row>
    <row r="32" spans="2:6" ht="15" customHeight="1" x14ac:dyDescent="0.25">
      <c r="B32" s="3" t="s">
        <v>51</v>
      </c>
      <c r="C32" s="3"/>
      <c r="D32" s="3"/>
      <c r="E32" s="3"/>
      <c r="F32" s="3"/>
    </row>
  </sheetData>
  <mergeCells count="13">
    <mergeCell ref="B30:F30"/>
    <mergeCell ref="B31:F31"/>
    <mergeCell ref="B32:F32"/>
    <mergeCell ref="B17:F17"/>
    <mergeCell ref="B24:F24"/>
    <mergeCell ref="B27:F27"/>
    <mergeCell ref="B28:F28"/>
    <mergeCell ref="B29:F29"/>
    <mergeCell ref="B1:F1"/>
    <mergeCell ref="B2:F2"/>
    <mergeCell ref="B3:F3"/>
    <mergeCell ref="B5:F5"/>
    <mergeCell ref="B10:F10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1"/>
  <sheetViews>
    <sheetView showGridLines="0" zoomScaleNormal="100" workbookViewId="0"/>
  </sheetViews>
  <sheetFormatPr defaultColWidth="8.7109375" defaultRowHeight="15" x14ac:dyDescent="0.25"/>
  <cols>
    <col min="1" max="1" width="3" customWidth="1"/>
    <col min="2" max="2" width="24" customWidth="1"/>
    <col min="3" max="8" width="16" customWidth="1"/>
    <col min="9" max="9" width="22" customWidth="1"/>
  </cols>
  <sheetData>
    <row r="1" spans="2:6" ht="27.75" customHeight="1" x14ac:dyDescent="0.25">
      <c r="B1" s="10" t="s">
        <v>52</v>
      </c>
      <c r="C1" s="10"/>
      <c r="D1" s="10"/>
      <c r="E1" s="10"/>
      <c r="F1" s="10"/>
    </row>
    <row r="2" spans="2:6" ht="15.75" customHeight="1" x14ac:dyDescent="0.25">
      <c r="B2" s="9" t="s">
        <v>53</v>
      </c>
      <c r="C2" s="9"/>
      <c r="D2" s="9"/>
      <c r="E2" s="9"/>
      <c r="F2" s="9"/>
    </row>
    <row r="4" spans="2:6" ht="15" customHeight="1" x14ac:dyDescent="0.25">
      <c r="B4" s="8" t="s">
        <v>54</v>
      </c>
      <c r="C4" s="8"/>
      <c r="D4" s="8"/>
    </row>
    <row r="5" spans="2:6" ht="15" customHeight="1" x14ac:dyDescent="0.25">
      <c r="B5" s="12" t="s">
        <v>55</v>
      </c>
      <c r="C5" s="21">
        <f>FC_AMT*F0_in</f>
        <v>1314000</v>
      </c>
      <c r="D5" s="1" t="s">
        <v>56</v>
      </c>
      <c r="E5" s="1"/>
    </row>
    <row r="7" spans="2:6" ht="15" customHeight="1" x14ac:dyDescent="0.25">
      <c r="B7" s="8" t="s">
        <v>57</v>
      </c>
      <c r="C7" s="8"/>
      <c r="D7" s="8"/>
    </row>
    <row r="8" spans="2:6" ht="15" customHeight="1" x14ac:dyDescent="0.25">
      <c r="B8" s="12" t="s">
        <v>58</v>
      </c>
      <c r="C8" s="22">
        <f>FC_AMT/(1+R_FC*T)</f>
        <v>1182266.0098522168</v>
      </c>
      <c r="D8" s="1" t="s">
        <v>59</v>
      </c>
      <c r="E8" s="1"/>
    </row>
    <row r="9" spans="2:6" ht="15" customHeight="1" x14ac:dyDescent="0.25">
      <c r="B9" s="12" t="s">
        <v>60</v>
      </c>
      <c r="C9" s="23">
        <f>C8*S0_in</f>
        <v>1300492.6108374386</v>
      </c>
      <c r="D9" s="1" t="s">
        <v>61</v>
      </c>
      <c r="E9" s="1"/>
    </row>
    <row r="10" spans="2:6" ht="15" customHeight="1" x14ac:dyDescent="0.25">
      <c r="B10" s="12" t="s">
        <v>62</v>
      </c>
      <c r="C10" s="24">
        <f>C9*(1+R_USD*T)</f>
        <v>1333004.9261083745</v>
      </c>
      <c r="D10" s="1" t="s">
        <v>63</v>
      </c>
      <c r="E10" s="1"/>
    </row>
    <row r="11" spans="2:6" ht="15" customHeight="1" x14ac:dyDescent="0.25">
      <c r="B11" s="12" t="s">
        <v>64</v>
      </c>
      <c r="C11" s="25">
        <f>C10-C5</f>
        <v>19004.926108374493</v>
      </c>
      <c r="D11" s="1" t="s">
        <v>65</v>
      </c>
      <c r="E11" s="1"/>
    </row>
    <row r="13" spans="2:6" ht="15" customHeight="1" x14ac:dyDescent="0.25">
      <c r="B13" s="8" t="s">
        <v>66</v>
      </c>
      <c r="C13" s="8"/>
      <c r="D13" s="8"/>
    </row>
    <row r="14" spans="2:6" ht="15" customHeight="1" x14ac:dyDescent="0.25">
      <c r="B14" s="11"/>
      <c r="C14" s="11" t="s">
        <v>67</v>
      </c>
      <c r="D14" s="11" t="s">
        <v>68</v>
      </c>
    </row>
    <row r="15" spans="2:6" ht="15" customHeight="1" x14ac:dyDescent="0.25">
      <c r="B15" s="12" t="s">
        <v>69</v>
      </c>
      <c r="C15" s="20">
        <f>PREM_PUT</f>
        <v>0.02</v>
      </c>
      <c r="D15" s="20">
        <f>PREM_CALL</f>
        <v>2.5000000000000001E-2</v>
      </c>
    </row>
    <row r="16" spans="2:6" ht="15" customHeight="1" x14ac:dyDescent="0.25">
      <c r="B16" s="12" t="s">
        <v>70</v>
      </c>
      <c r="C16" s="26">
        <f>FC_AMT*PREM_PUT</f>
        <v>24000</v>
      </c>
      <c r="D16" s="26">
        <f>FC_AMT*PREM_CALL</f>
        <v>30000</v>
      </c>
    </row>
    <row r="17" spans="2:8" ht="15" customHeight="1" x14ac:dyDescent="0.25">
      <c r="B17" s="12" t="s">
        <v>71</v>
      </c>
      <c r="C17" s="20">
        <f>K_PUT-PREM_PUT</f>
        <v>1.08</v>
      </c>
      <c r="D17" s="20">
        <f>K_CALL+PREM_CALL</f>
        <v>1.125</v>
      </c>
    </row>
    <row r="19" spans="2:8" ht="15" customHeight="1" x14ac:dyDescent="0.25">
      <c r="B19" s="8" t="s">
        <v>72</v>
      </c>
      <c r="C19" s="8"/>
      <c r="D19" s="8"/>
      <c r="E19" s="8"/>
      <c r="F19" s="8"/>
      <c r="G19" s="8"/>
      <c r="H19" s="8"/>
    </row>
    <row r="20" spans="2:8" ht="15" customHeight="1" x14ac:dyDescent="0.25">
      <c r="B20" s="11" t="s">
        <v>73</v>
      </c>
      <c r="C20" s="11" t="s">
        <v>74</v>
      </c>
      <c r="D20" s="11" t="s">
        <v>75</v>
      </c>
      <c r="E20" s="11" t="s">
        <v>76</v>
      </c>
      <c r="F20" s="11" t="s">
        <v>77</v>
      </c>
      <c r="G20" s="11" t="s">
        <v>78</v>
      </c>
      <c r="H20" s="11" t="s">
        <v>79</v>
      </c>
    </row>
    <row r="21" spans="2:8" ht="15" customHeight="1" x14ac:dyDescent="0.25">
      <c r="B21" s="27">
        <f>0.95*S0_in</f>
        <v>1.0449999999999999</v>
      </c>
      <c r="C21" s="28">
        <f>C5</f>
        <v>1314000</v>
      </c>
      <c r="D21" s="28">
        <f>C10</f>
        <v>1333004.9261083745</v>
      </c>
      <c r="E21" s="26">
        <f t="shared" ref="E21:E31" si="0">FC_AMT*MAX(B21,K_PUT)-FC_AMT*PREM_PUT</f>
        <v>1296000</v>
      </c>
      <c r="F21" s="26">
        <f t="shared" ref="F21:F31" si="1">FC_AMT*MIN(B21,K_CALL)-FC_AMT*PREM_CALL</f>
        <v>1224000</v>
      </c>
      <c r="G21" s="26">
        <f t="shared" ref="G21:G31" si="2">E21-C21</f>
        <v>-18000</v>
      </c>
      <c r="H21" s="29" t="str">
        <f t="shared" ref="H21:H31" si="3">IF(MAX(C21,D21,E21,F21)=C21,"Forward",IF(MAX(C21,D21,E21,F21)=D21,"Money Mkt",IF(MAX(C21,D21,E21,F21)=E21,"Put","Call")))</f>
        <v>Money Mkt</v>
      </c>
    </row>
    <row r="22" spans="2:8" ht="15" customHeight="1" x14ac:dyDescent="0.25">
      <c r="B22" s="20">
        <f t="shared" ref="B22:B31" si="4">B21+0.01</f>
        <v>1.0549999999999999</v>
      </c>
      <c r="C22" s="30">
        <f>C5</f>
        <v>1314000</v>
      </c>
      <c r="D22" s="30">
        <f>C10</f>
        <v>1333004.9261083745</v>
      </c>
      <c r="E22" s="23">
        <f t="shared" si="0"/>
        <v>1296000</v>
      </c>
      <c r="F22" s="23">
        <f t="shared" si="1"/>
        <v>1236000</v>
      </c>
      <c r="G22" s="23">
        <f t="shared" si="2"/>
        <v>-18000</v>
      </c>
      <c r="H22" s="29" t="str">
        <f t="shared" si="3"/>
        <v>Money Mkt</v>
      </c>
    </row>
    <row r="23" spans="2:8" ht="15" customHeight="1" x14ac:dyDescent="0.25">
      <c r="B23" s="27">
        <f t="shared" si="4"/>
        <v>1.0649999999999999</v>
      </c>
      <c r="C23" s="28">
        <f>C5</f>
        <v>1314000</v>
      </c>
      <c r="D23" s="28">
        <f>C10</f>
        <v>1333004.9261083745</v>
      </c>
      <c r="E23" s="26">
        <f t="shared" si="0"/>
        <v>1296000</v>
      </c>
      <c r="F23" s="26">
        <f t="shared" si="1"/>
        <v>1248000</v>
      </c>
      <c r="G23" s="26">
        <f t="shared" si="2"/>
        <v>-18000</v>
      </c>
      <c r="H23" s="29" t="str">
        <f t="shared" si="3"/>
        <v>Money Mkt</v>
      </c>
    </row>
    <row r="24" spans="2:8" ht="15" customHeight="1" x14ac:dyDescent="0.25">
      <c r="B24" s="20">
        <f t="shared" si="4"/>
        <v>1.075</v>
      </c>
      <c r="C24" s="30">
        <f>C5</f>
        <v>1314000</v>
      </c>
      <c r="D24" s="30">
        <f>C10</f>
        <v>1333004.9261083745</v>
      </c>
      <c r="E24" s="23">
        <f t="shared" si="0"/>
        <v>1296000</v>
      </c>
      <c r="F24" s="23">
        <f t="shared" si="1"/>
        <v>1260000</v>
      </c>
      <c r="G24" s="23">
        <f t="shared" si="2"/>
        <v>-18000</v>
      </c>
      <c r="H24" s="29" t="str">
        <f t="shared" si="3"/>
        <v>Money Mkt</v>
      </c>
    </row>
    <row r="25" spans="2:8" ht="15" customHeight="1" x14ac:dyDescent="0.25">
      <c r="B25" s="27">
        <f t="shared" si="4"/>
        <v>1.085</v>
      </c>
      <c r="C25" s="28">
        <f>C5</f>
        <v>1314000</v>
      </c>
      <c r="D25" s="28">
        <f>C10</f>
        <v>1333004.9261083745</v>
      </c>
      <c r="E25" s="26">
        <f t="shared" si="0"/>
        <v>1296000</v>
      </c>
      <c r="F25" s="26">
        <f t="shared" si="1"/>
        <v>1272000</v>
      </c>
      <c r="G25" s="26">
        <f t="shared" si="2"/>
        <v>-18000</v>
      </c>
      <c r="H25" s="29" t="str">
        <f t="shared" si="3"/>
        <v>Money Mkt</v>
      </c>
    </row>
    <row r="26" spans="2:8" ht="15" customHeight="1" x14ac:dyDescent="0.25">
      <c r="B26" s="20">
        <f t="shared" si="4"/>
        <v>1.095</v>
      </c>
      <c r="C26" s="30">
        <f>C5</f>
        <v>1314000</v>
      </c>
      <c r="D26" s="30">
        <f>C10</f>
        <v>1333004.9261083745</v>
      </c>
      <c r="E26" s="23">
        <f t="shared" si="0"/>
        <v>1296000</v>
      </c>
      <c r="F26" s="23">
        <f t="shared" si="1"/>
        <v>1284000</v>
      </c>
      <c r="G26" s="23">
        <f t="shared" si="2"/>
        <v>-18000</v>
      </c>
      <c r="H26" s="29" t="str">
        <f t="shared" si="3"/>
        <v>Money Mkt</v>
      </c>
    </row>
    <row r="27" spans="2:8" ht="15" customHeight="1" x14ac:dyDescent="0.25">
      <c r="B27" s="27">
        <f t="shared" si="4"/>
        <v>1.105</v>
      </c>
      <c r="C27" s="28">
        <f>C5</f>
        <v>1314000</v>
      </c>
      <c r="D27" s="28">
        <f>C10</f>
        <v>1333004.9261083745</v>
      </c>
      <c r="E27" s="26">
        <f t="shared" si="0"/>
        <v>1302000</v>
      </c>
      <c r="F27" s="26">
        <f t="shared" si="1"/>
        <v>1290000</v>
      </c>
      <c r="G27" s="26">
        <f t="shared" si="2"/>
        <v>-12000</v>
      </c>
      <c r="H27" s="29" t="str">
        <f t="shared" si="3"/>
        <v>Money Mkt</v>
      </c>
    </row>
    <row r="28" spans="2:8" ht="15" customHeight="1" x14ac:dyDescent="0.25">
      <c r="B28" s="20">
        <f t="shared" si="4"/>
        <v>1.115</v>
      </c>
      <c r="C28" s="30">
        <f>C5</f>
        <v>1314000</v>
      </c>
      <c r="D28" s="30">
        <f>C10</f>
        <v>1333004.9261083745</v>
      </c>
      <c r="E28" s="23">
        <f t="shared" si="0"/>
        <v>1314000</v>
      </c>
      <c r="F28" s="23">
        <f t="shared" si="1"/>
        <v>1290000</v>
      </c>
      <c r="G28" s="23">
        <f t="shared" si="2"/>
        <v>0</v>
      </c>
      <c r="H28" s="29" t="str">
        <f t="shared" si="3"/>
        <v>Money Mkt</v>
      </c>
    </row>
    <row r="29" spans="2:8" ht="15" customHeight="1" x14ac:dyDescent="0.25">
      <c r="B29" s="27">
        <f t="shared" si="4"/>
        <v>1.125</v>
      </c>
      <c r="C29" s="28">
        <f>C5</f>
        <v>1314000</v>
      </c>
      <c r="D29" s="28">
        <f>C10</f>
        <v>1333004.9261083745</v>
      </c>
      <c r="E29" s="26">
        <f t="shared" si="0"/>
        <v>1326000</v>
      </c>
      <c r="F29" s="26">
        <f t="shared" si="1"/>
        <v>1290000</v>
      </c>
      <c r="G29" s="26">
        <f t="shared" si="2"/>
        <v>12000</v>
      </c>
      <c r="H29" s="29" t="str">
        <f t="shared" si="3"/>
        <v>Money Mkt</v>
      </c>
    </row>
    <row r="30" spans="2:8" ht="15" customHeight="1" x14ac:dyDescent="0.25">
      <c r="B30" s="20">
        <f t="shared" si="4"/>
        <v>1.135</v>
      </c>
      <c r="C30" s="30">
        <f>C5</f>
        <v>1314000</v>
      </c>
      <c r="D30" s="30">
        <f>C10</f>
        <v>1333004.9261083745</v>
      </c>
      <c r="E30" s="23">
        <f t="shared" si="0"/>
        <v>1338000</v>
      </c>
      <c r="F30" s="23">
        <f t="shared" si="1"/>
        <v>1290000</v>
      </c>
      <c r="G30" s="23">
        <f t="shared" si="2"/>
        <v>24000</v>
      </c>
      <c r="H30" s="29" t="str">
        <f t="shared" si="3"/>
        <v>Put</v>
      </c>
    </row>
    <row r="31" spans="2:8" ht="15" customHeight="1" x14ac:dyDescent="0.25">
      <c r="B31" s="27">
        <f t="shared" si="4"/>
        <v>1.145</v>
      </c>
      <c r="C31" s="28">
        <f>C5</f>
        <v>1314000</v>
      </c>
      <c r="D31" s="28">
        <f>C10</f>
        <v>1333004.9261083745</v>
      </c>
      <c r="E31" s="26">
        <f t="shared" si="0"/>
        <v>1350000</v>
      </c>
      <c r="F31" s="26">
        <f t="shared" si="1"/>
        <v>1290000</v>
      </c>
      <c r="G31" s="26">
        <f t="shared" si="2"/>
        <v>36000</v>
      </c>
      <c r="H31" s="29" t="str">
        <f t="shared" si="3"/>
        <v>Put</v>
      </c>
    </row>
  </sheetData>
  <mergeCells count="11">
    <mergeCell ref="B19:H19"/>
    <mergeCell ref="D8:E8"/>
    <mergeCell ref="D9:E9"/>
    <mergeCell ref="D10:E10"/>
    <mergeCell ref="D11:E11"/>
    <mergeCell ref="B13:D13"/>
    <mergeCell ref="B1:F1"/>
    <mergeCell ref="B2:F2"/>
    <mergeCell ref="B4:D4"/>
    <mergeCell ref="D5:E5"/>
    <mergeCell ref="B7:D7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23"/>
  <sheetViews>
    <sheetView showGridLines="0" tabSelected="1" zoomScaleNormal="100" workbookViewId="0"/>
  </sheetViews>
  <sheetFormatPr defaultColWidth="8.7109375" defaultRowHeight="15" x14ac:dyDescent="0.25"/>
  <cols>
    <col min="1" max="1" width="3" customWidth="1"/>
    <col min="2" max="2" width="26" customWidth="1"/>
    <col min="3" max="6" width="18" customWidth="1"/>
    <col min="7" max="7" width="22" customWidth="1"/>
  </cols>
  <sheetData>
    <row r="1" spans="2:6" ht="27.75" customHeight="1" x14ac:dyDescent="0.25">
      <c r="B1" s="10" t="s">
        <v>80</v>
      </c>
      <c r="C1" s="10"/>
      <c r="D1" s="10"/>
      <c r="E1" s="10"/>
      <c r="F1" s="10"/>
    </row>
    <row r="2" spans="2:6" ht="15.75" customHeight="1" x14ac:dyDescent="0.25">
      <c r="B2" s="9" t="s">
        <v>81</v>
      </c>
      <c r="C2" s="9"/>
      <c r="D2" s="9"/>
      <c r="E2" s="9"/>
      <c r="F2" s="9"/>
    </row>
    <row r="4" spans="2:6" ht="15" customHeight="1" x14ac:dyDescent="0.25">
      <c r="B4" s="8" t="s">
        <v>82</v>
      </c>
      <c r="C4" s="8"/>
      <c r="D4" s="8"/>
      <c r="E4" s="8"/>
      <c r="F4" s="8"/>
    </row>
    <row r="5" spans="2:6" ht="15" customHeight="1" x14ac:dyDescent="0.25">
      <c r="B5" s="11" t="s">
        <v>83</v>
      </c>
      <c r="C5" s="11" t="s">
        <v>84</v>
      </c>
      <c r="D5" s="11" t="s">
        <v>85</v>
      </c>
      <c r="E5" s="11" t="s">
        <v>86</v>
      </c>
      <c r="F5" s="11" t="s">
        <v>87</v>
      </c>
    </row>
    <row r="6" spans="2:6" ht="15" customHeight="1" x14ac:dyDescent="0.25">
      <c r="B6" s="12" t="s">
        <v>88</v>
      </c>
      <c r="C6" s="21">
        <f>USD_forward</f>
        <v>1314000</v>
      </c>
      <c r="D6" s="21">
        <f>0</f>
        <v>0</v>
      </c>
      <c r="E6" s="21">
        <f>USD_forward</f>
        <v>1314000</v>
      </c>
      <c r="F6" s="21">
        <f>0</f>
        <v>0</v>
      </c>
    </row>
    <row r="7" spans="2:6" ht="15" customHeight="1" x14ac:dyDescent="0.25">
      <c r="B7" s="12" t="s">
        <v>89</v>
      </c>
      <c r="C7" s="30">
        <f>USD_mm</f>
        <v>1333004.9261083745</v>
      </c>
      <c r="D7" s="30">
        <f>0</f>
        <v>0</v>
      </c>
      <c r="E7" s="30">
        <f>USD_mm</f>
        <v>1333004.9261083745</v>
      </c>
      <c r="F7" s="30">
        <f>USD_mm-USD_forward</f>
        <v>19004.926108374493</v>
      </c>
    </row>
    <row r="8" spans="2:6" ht="15" customHeight="1" x14ac:dyDescent="0.25">
      <c r="B8" s="12" t="s">
        <v>90</v>
      </c>
      <c r="C8" s="28">
        <f>FC_AMT*MAX(S0_in,K_PUT)</f>
        <v>1320000</v>
      </c>
      <c r="D8" s="28">
        <f>FC_AMT*PREM_PUT</f>
        <v>24000</v>
      </c>
      <c r="E8" s="28">
        <f>FC_AMT*MAX(S0_in,K_PUT)-FC_AMT*PREM_PUT</f>
        <v>1296000</v>
      </c>
      <c r="F8" s="28">
        <f>E7-USD_forward</f>
        <v>19004.926108374493</v>
      </c>
    </row>
    <row r="9" spans="2:6" ht="15" customHeight="1" x14ac:dyDescent="0.25">
      <c r="B9" s="12" t="s">
        <v>91</v>
      </c>
      <c r="C9" s="30">
        <f>FC_AMT*MIN(S0_in,K_CALL)</f>
        <v>1320000</v>
      </c>
      <c r="D9" s="30">
        <f>FC_AMT*PREM_CALL</f>
        <v>30000</v>
      </c>
      <c r="E9" s="30">
        <f>FC_AMT*MIN(S0_in,K_CALL)-FC_AMT*PREM_CALL</f>
        <v>1290000</v>
      </c>
      <c r="F9" s="30">
        <f>E8-USD_forward</f>
        <v>-18000</v>
      </c>
    </row>
    <row r="11" spans="2:6" ht="15" customHeight="1" x14ac:dyDescent="0.25">
      <c r="B11" s="8" t="s">
        <v>92</v>
      </c>
      <c r="C11" s="8"/>
      <c r="D11" s="8"/>
      <c r="E11" s="8"/>
      <c r="F11" s="8"/>
    </row>
    <row r="12" spans="2:6" ht="15" customHeight="1" x14ac:dyDescent="0.25">
      <c r="B12" s="11" t="s">
        <v>93</v>
      </c>
      <c r="C12" s="11" t="s">
        <v>7</v>
      </c>
      <c r="D12" s="11"/>
      <c r="E12" s="11" t="s">
        <v>94</v>
      </c>
      <c r="F12" s="11"/>
    </row>
    <row r="13" spans="2:6" ht="15" customHeight="1" x14ac:dyDescent="0.25">
      <c r="B13" s="12" t="s">
        <v>95</v>
      </c>
      <c r="C13" s="30">
        <f>FC_AMT*K_PUT-FC_AMT*PREM_PUT</f>
        <v>1296000</v>
      </c>
      <c r="D13" s="7" t="s">
        <v>96</v>
      </c>
      <c r="E13" s="7"/>
      <c r="F13" s="7"/>
    </row>
    <row r="14" spans="2:6" ht="15" customHeight="1" x14ac:dyDescent="0.25">
      <c r="B14" s="12" t="s">
        <v>97</v>
      </c>
      <c r="C14" s="31">
        <f>K_PUT-PREM_PUT</f>
        <v>1.08</v>
      </c>
      <c r="D14" s="6" t="s">
        <v>98</v>
      </c>
      <c r="E14" s="6"/>
      <c r="F14" s="6"/>
    </row>
    <row r="15" spans="2:6" ht="15" customHeight="1" x14ac:dyDescent="0.25">
      <c r="B15" s="12" t="s">
        <v>99</v>
      </c>
      <c r="C15" s="32">
        <f>K_CALL+PREM_CALL</f>
        <v>1.125</v>
      </c>
      <c r="D15" s="7" t="s">
        <v>100</v>
      </c>
      <c r="E15" s="7"/>
      <c r="F15" s="7"/>
    </row>
    <row r="16" spans="2:6" ht="15" customHeight="1" x14ac:dyDescent="0.25">
      <c r="B16" s="12" t="s">
        <v>101</v>
      </c>
      <c r="C16" s="28">
        <f>USD_mm-USD_forward</f>
        <v>19004.926108374493</v>
      </c>
      <c r="D16" s="6" t="s">
        <v>102</v>
      </c>
      <c r="E16" s="6"/>
      <c r="F16" s="6"/>
    </row>
    <row r="17" spans="2:6" ht="15" customHeight="1" x14ac:dyDescent="0.25">
      <c r="B17" s="12" t="s">
        <v>103</v>
      </c>
      <c r="C17" s="33">
        <f>FC_AMT*PREM_PUT/USD_forward</f>
        <v>1.8264840182648401E-2</v>
      </c>
      <c r="D17" s="7" t="s">
        <v>104</v>
      </c>
      <c r="E17" s="7"/>
      <c r="F17" s="7"/>
    </row>
    <row r="19" spans="2:6" ht="15" customHeight="1" x14ac:dyDescent="0.25">
      <c r="B19" s="8" t="s">
        <v>105</v>
      </c>
      <c r="C19" s="8"/>
      <c r="D19" s="8"/>
      <c r="E19" s="8"/>
      <c r="F19" s="8"/>
    </row>
    <row r="20" spans="2:6" ht="90" customHeight="1" x14ac:dyDescent="0.25">
      <c r="B20" s="5" t="s">
        <v>106</v>
      </c>
      <c r="C20" s="5"/>
      <c r="D20" s="5"/>
      <c r="E20" s="5"/>
      <c r="F20" s="5"/>
    </row>
    <row r="21" spans="2:6" ht="15" customHeight="1" x14ac:dyDescent="0.25">
      <c r="B21" s="5"/>
      <c r="C21" s="5"/>
      <c r="D21" s="5"/>
      <c r="E21" s="5"/>
      <c r="F21" s="5"/>
    </row>
    <row r="22" spans="2:6" ht="15" customHeight="1" x14ac:dyDescent="0.25">
      <c r="B22" s="5"/>
      <c r="C22" s="5"/>
      <c r="D22" s="5"/>
      <c r="E22" s="5"/>
      <c r="F22" s="5"/>
    </row>
    <row r="23" spans="2:6" ht="15" customHeight="1" x14ac:dyDescent="0.25">
      <c r="B23" s="5"/>
      <c r="C23" s="5"/>
      <c r="D23" s="5"/>
      <c r="E23" s="5"/>
      <c r="F23" s="5"/>
    </row>
  </sheetData>
  <mergeCells count="11">
    <mergeCell ref="B20:F23"/>
    <mergeCell ref="D14:F14"/>
    <mergeCell ref="D15:F15"/>
    <mergeCell ref="D16:F16"/>
    <mergeCell ref="D17:F17"/>
    <mergeCell ref="B19:F19"/>
    <mergeCell ref="B1:F1"/>
    <mergeCell ref="B2:F2"/>
    <mergeCell ref="B4:F4"/>
    <mergeCell ref="B11:F11"/>
    <mergeCell ref="D13:F1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13</vt:i4>
      </vt:variant>
    </vt:vector>
  </HeadingPairs>
  <TitlesOfParts>
    <vt:vector size="16" baseType="lpstr">
      <vt:lpstr>1_Inputs</vt:lpstr>
      <vt:lpstr>2_Model</vt:lpstr>
      <vt:lpstr>3_Summary</vt:lpstr>
      <vt:lpstr>F0_in</vt:lpstr>
      <vt:lpstr>FC_AMT</vt:lpstr>
      <vt:lpstr>K_CALL</vt:lpstr>
      <vt:lpstr>K_PUT</vt:lpstr>
      <vt:lpstr>PREM_CALL</vt:lpstr>
      <vt:lpstr>PREM_PUT</vt:lpstr>
      <vt:lpstr>R_FC</vt:lpstr>
      <vt:lpstr>R_USD</vt:lpstr>
      <vt:lpstr>S0_in</vt:lpstr>
      <vt:lpstr>T</vt:lpstr>
      <vt:lpstr>T_DAYS</vt:lpstr>
      <vt:lpstr>USD_forward</vt:lpstr>
      <vt:lpstr>USD_mm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 A</cp:lastModifiedBy>
  <cp:revision>2</cp:revision>
  <dcterms:created xsi:type="dcterms:W3CDTF">2026-04-25T08:34:39Z</dcterms:created>
  <dcterms:modified xsi:type="dcterms:W3CDTF">2026-04-25T08:36:32Z</dcterms:modified>
  <dc:language>en-US</dc:language>
</cp:coreProperties>
</file>